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EW\Desktop\"/>
    </mc:Choice>
  </mc:AlternateContent>
  <xr:revisionPtr revIDLastSave="0" documentId="13_ncr:1_{7D91700F-9970-4376-B763-C1DEB6A94CC9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Sheet4" sheetId="4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8" i="1"/>
  <c r="I7" i="1"/>
  <c r="I5" i="1"/>
</calcChain>
</file>

<file path=xl/sharedStrings.xml><?xml version="1.0" encoding="utf-8"?>
<sst xmlns="http://schemas.openxmlformats.org/spreadsheetml/2006/main" count="52" uniqueCount="28">
  <si>
    <t>*Amazon.in Smartphones - Octoparse Data*</t>
  </si>
  <si>
    <t>#</t>
  </si>
  <si>
    <t>Product_name</t>
  </si>
  <si>
    <t>Stars</t>
  </si>
  <si>
    <t>Rating_count</t>
  </si>
  <si>
    <t>Samsung Galaxy M...</t>
  </si>
  <si>
    <t>vivo T5x 5G (Cyber...</t>
  </si>
  <si>
    <t>Samsung Galaxy F...</t>
  </si>
  <si>
    <t>Lava Bold N2 (Siac...</t>
  </si>
  <si>
    <t>REDMI A7 Pro 5G (...</t>
  </si>
  <si>
    <t>OnePlus Nord CE6 ...</t>
  </si>
  <si>
    <t>Apple iPhone 17e ...</t>
  </si>
  <si>
    <t>Apple iPhone Air 1...</t>
  </si>
  <si>
    <t>realme NARZO 80 ...</t>
  </si>
  <si>
    <t>Apple iPhone Air 2...</t>
  </si>
  <si>
    <t>realme C71 4G Sm...</t>
  </si>
  <si>
    <t>iQOO Z10R 5G (M...</t>
  </si>
  <si>
    <t>iQOO Z10 Lite 5G (...</t>
  </si>
  <si>
    <t>iQOO Z11x 5G (Pri...</t>
  </si>
  <si>
    <t>Motorola G57 Pow...</t>
  </si>
  <si>
    <t>average stars</t>
  </si>
  <si>
    <t>average count</t>
  </si>
  <si>
    <t>min rating count</t>
  </si>
  <si>
    <t>max rating count</t>
  </si>
  <si>
    <t>Row Labels</t>
  </si>
  <si>
    <t>Grand Total</t>
  </si>
  <si>
    <t>Column Labels</t>
  </si>
  <si>
    <t>Sum of Rating_count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</si>
</sst>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8" fontId="0" fillId="6" borderId="0" xfId="0" applyNumberFormat="1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[codealpha_data_analytics_project.xlsx]Sheet4!PivotTable3</c:name>
    <c:fmtId val="0"/>
  </c:pivotSource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56997088"/>
        <c:axId val="1356979808"/>
      </c:barChart>
      <c:catAx>
        <c:axId val="13569970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979808"/>
        <c:crosses val="autoZero"/>
        <c:auto val="1"/>
        <c:lblAlgn val="ctr"/>
        <c:lblOffset val="100"/>
        <c:noMultiLvlLbl val="0"/>
      </c:catAx>
      <c:valAx>
        <c:axId val="135697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99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9835296"/>
        <c:axId val="1679854976"/>
      </c:lineChart>
      <c:catAx>
        <c:axId val="1679835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54976"/>
        <c:crosses val="autoZero"/>
        <c:auto val="1"/>
        <c:lblAlgn val="ctr"/>
        <c:lblOffset val="100"/>
        <c:noMultiLvlLbl val="0"/>
      </c:catAx>
      <c:valAx>
        <c:axId val="167985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3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[codealpha_data_analytics_project.xlsx]Sheet1!PivotTable4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Sheet1!$L$3:$L$4</c:f>
              <c:strCache>
                <c:ptCount val="1"/>
                <c:pt idx="0">
                  <c:v>3.4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Sheet1!$L$5:$L$20</c:f>
              <c:numCache>
                <c:formatCode>General</c:formatCode>
                <c:ptCount val="15"/>
                <c:pt idx="11">
                  <c:v>1826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53E-4248-BB83-209A9C4BD400}"/>
            </c:ext>
          </c:extLst>
        </c:ser>
        <c:ser>
          <c:idx val="1"/>
          <c:order val="1"/>
          <c:tx>
            <c:strRef>
              <c:f>Sheet1!$M$3:$M$4</c:f>
              <c:strCache>
                <c:ptCount val="1"/>
                <c:pt idx="0">
                  <c:v>3.5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Sheet1!$M$5:$M$20</c:f>
              <c:numCache>
                <c:formatCode>General</c:formatCode>
                <c:ptCount val="15"/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53E-4248-BB83-209A9C4BD400}"/>
            </c:ext>
          </c:extLst>
        </c:ser>
        <c:ser>
          <c:idx val="2"/>
          <c:order val="2"/>
          <c:tx>
            <c:strRef>
              <c:f>Sheet1!$N$3:$N$4</c:f>
              <c:strCache>
                <c:ptCount val="1"/>
                <c:pt idx="0">
                  <c:v>3.7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Sheet1!$N$5:$N$20</c:f>
              <c:numCache>
                <c:formatCode>General</c:formatCode>
                <c:ptCount val="15"/>
                <c:pt idx="6">
                  <c:v>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53E-4248-BB83-209A9C4BD400}"/>
            </c:ext>
          </c:extLst>
        </c:ser>
        <c:ser>
          <c:idx val="3"/>
          <c:order val="3"/>
          <c:tx>
            <c:strRef>
              <c:f>Sheet1!$O$3:$O$4</c:f>
              <c:strCache>
                <c:ptCount val="1"/>
                <c:pt idx="0">
                  <c:v>3.8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Sheet1!$O$5:$O$20</c:f>
              <c:numCache>
                <c:formatCode>General</c:formatCode>
                <c:ptCount val="15"/>
                <c:pt idx="12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53E-4248-BB83-209A9C4BD400}"/>
            </c:ext>
          </c:extLst>
        </c:ser>
        <c:ser>
          <c:idx val="4"/>
          <c:order val="4"/>
          <c:tx>
            <c:strRef>
              <c:f>Sheet1!$P$3:$P$4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Sheet1!$P$5:$P$20</c:f>
              <c:numCache>
                <c:formatCode>General</c:formatCode>
                <c:ptCount val="15"/>
                <c:pt idx="13">
                  <c:v>4029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53E-4248-BB83-209A9C4BD400}"/>
            </c:ext>
          </c:extLst>
        </c:ser>
        <c:ser>
          <c:idx val="5"/>
          <c:order val="5"/>
          <c:tx>
            <c:strRef>
              <c:f>Sheet1!$Q$3:$Q$4</c:f>
              <c:strCache>
                <c:ptCount val="1"/>
                <c:pt idx="0">
                  <c:v>4.1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Sheet1!$Q$5:$Q$20</c:f>
              <c:numCache>
                <c:formatCode>General</c:formatCode>
                <c:ptCount val="15"/>
                <c:pt idx="13">
                  <c:v>2800</c:v>
                </c:pt>
                <c:pt idx="14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53E-4248-BB83-209A9C4BD400}"/>
            </c:ext>
          </c:extLst>
        </c:ser>
        <c:ser>
          <c:idx val="6"/>
          <c:order val="6"/>
          <c:tx>
            <c:strRef>
              <c:f>Sheet1!$R$3:$R$4</c:f>
              <c:strCache>
                <c:ptCount val="1"/>
                <c:pt idx="0">
                  <c:v>4.2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Sheet1!$R$5:$R$20</c:f>
              <c:numCache>
                <c:formatCode>General</c:formatCode>
                <c:ptCount val="15"/>
                <c:pt idx="0">
                  <c:v>66</c:v>
                </c:pt>
                <c:pt idx="3">
                  <c:v>7600</c:v>
                </c:pt>
                <c:pt idx="5">
                  <c:v>1100</c:v>
                </c:pt>
                <c:pt idx="8">
                  <c:v>2200</c:v>
                </c:pt>
                <c:pt idx="10">
                  <c:v>3000</c:v>
                </c:pt>
                <c:pt idx="12">
                  <c:v>165</c:v>
                </c:pt>
                <c:pt idx="13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53E-4248-BB83-209A9C4BD400}"/>
            </c:ext>
          </c:extLst>
        </c:ser>
        <c:ser>
          <c:idx val="7"/>
          <c:order val="7"/>
          <c:tx>
            <c:strRef>
              <c:f>Sheet1!$S$3:$S$4</c:f>
              <c:strCache>
                <c:ptCount val="1"/>
                <c:pt idx="0">
                  <c:v>4.3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Sheet1!$S$5:$S$20</c:f>
              <c:numCache>
                <c:formatCode>General</c:formatCode>
                <c:ptCount val="15"/>
                <c:pt idx="7">
                  <c:v>581</c:v>
                </c:pt>
                <c:pt idx="8">
                  <c:v>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53E-4248-BB83-209A9C4BD400}"/>
            </c:ext>
          </c:extLst>
        </c:ser>
        <c:ser>
          <c:idx val="8"/>
          <c:order val="8"/>
          <c:tx>
            <c:strRef>
              <c:f>Sheet1!$T$3:$T$4</c:f>
              <c:strCache>
                <c:ptCount val="1"/>
                <c:pt idx="0">
                  <c:v>4.4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Sheet1!$T$5:$T$20</c:f>
              <c:numCache>
                <c:formatCode>General</c:formatCode>
                <c:ptCount val="15"/>
                <c:pt idx="4">
                  <c:v>4700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53E-4248-BB83-209A9C4BD400}"/>
            </c:ext>
          </c:extLst>
        </c:ser>
        <c:ser>
          <c:idx val="9"/>
          <c:order val="9"/>
          <c:tx>
            <c:strRef>
              <c:f>Sheet1!$U$3:$U$4</c:f>
              <c:strCache>
                <c:ptCount val="1"/>
                <c:pt idx="0">
                  <c:v>4.5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Sheet1!$U$5:$U$20</c:f>
              <c:numCache>
                <c:formatCode>General</c:formatCode>
                <c:ptCount val="15"/>
                <c:pt idx="2">
                  <c:v>58</c:v>
                </c:pt>
                <c:pt idx="9">
                  <c:v>2400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53E-4248-BB83-209A9C4BD400}"/>
            </c:ext>
          </c:extLst>
        </c:ser>
        <c:ser>
          <c:idx val="10"/>
          <c:order val="10"/>
          <c:tx>
            <c:strRef>
              <c:f>Sheet1!$V$3:$V$4</c:f>
              <c:strCache>
                <c:ptCount val="1"/>
                <c:pt idx="0">
                  <c:v>4.6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Sheet1!$K$5:$K$20</c:f>
              <c:strCache>
                <c:ptCount val="15"/>
                <c:pt idx="0">
                  <c:v>Apple iPhone 17e ...</c:v>
                </c:pt>
                <c:pt idx="1">
                  <c:v>Apple iPhone Air 1...</c:v>
                </c:pt>
                <c:pt idx="2">
                  <c:v>Apple iPhone Air 2...</c:v>
                </c:pt>
                <c:pt idx="3">
                  <c:v>iQOO Z10 Lite 5G (...</c:v>
                </c:pt>
                <c:pt idx="4">
                  <c:v>iQOO Z10R 5G (M...</c:v>
                </c:pt>
                <c:pt idx="5">
                  <c:v>iQOO Z11x 5G (Pri...</c:v>
                </c:pt>
                <c:pt idx="6">
                  <c:v>Lava Bold N2 (Siac...</c:v>
                </c:pt>
                <c:pt idx="7">
                  <c:v>Motorola G57 Pow...</c:v>
                </c:pt>
                <c:pt idx="8">
                  <c:v>OnePlus Nord CE6 ...</c:v>
                </c:pt>
                <c:pt idx="9">
                  <c:v>realme C71 4G Sm...</c:v>
                </c:pt>
                <c:pt idx="10">
                  <c:v>realme NARZO 80 ...</c:v>
                </c:pt>
                <c:pt idx="11">
                  <c:v>REDMI A7 Pro 5G (...</c:v>
                </c:pt>
                <c:pt idx="12">
                  <c:v>Samsung Galaxy F...</c:v>
                </c:pt>
                <c:pt idx="13">
                  <c:v>Samsung Galaxy M...</c:v>
                </c:pt>
                <c:pt idx="14">
                  <c:v>vivo T5x 5G (Cyber...</c:v>
                </c:pt>
              </c:strCache>
            </c:strRef>
          </c:cat>
          <c:val>
            <c:numRef>
              <c:f>Sheet1!$V$5:$V$20</c:f>
              <c:numCache>
                <c:formatCode>General</c:formatCode>
                <c:ptCount val="15"/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53E-4248-BB83-209A9C4BD4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0793600"/>
        <c:axId val="1600787360"/>
      </c:barChart>
      <c:catAx>
        <c:axId val="160079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787360"/>
        <c:crosses val="autoZero"/>
        <c:auto val="1"/>
        <c:lblAlgn val="ctr"/>
        <c:lblOffset val="100"/>
        <c:noMultiLvlLbl val="0"/>
      </c:catAx>
      <c:valAx>
        <c:axId val="1600787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79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*stars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5.817599514862086E-2"/>
          <c:y val="0.13684353181342526"/>
          <c:w val="0.89655796150481193"/>
          <c:h val="0.2766119860017498"/>
        </c:manualLayout>
      </c:layout>
      <c:bar3DChart>
        <c:barDir val="col"/>
        <c:grouping val="stacked"/>
        <c:varyColors val="0"/>
        <c:ser>
          <c:idx val="0"/>
          <c:order val="0"/>
          <c:tx>
            <c:strRef>
              <c:f>Sheet1!$C$1:$C$2</c:f>
              <c:strCache>
                <c:ptCount val="2"/>
                <c:pt idx="0">
                  <c:v>*Amazon.in Smartphones - Octoparse Data*</c:v>
                </c:pt>
                <c:pt idx="1">
                  <c:v>Stars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76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hade val="76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shade val="76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Sheet1!$A$3:$B$25</c:f>
              <c:multiLvlStrCache>
                <c:ptCount val="23"/>
                <c:lvl>
                  <c:pt idx="0">
                    <c:v>Samsung Galaxy M...</c:v>
                  </c:pt>
                  <c:pt idx="1">
                    <c:v>vivo T5x 5G (Cyber...</c:v>
                  </c:pt>
                  <c:pt idx="2">
                    <c:v>Samsung Galaxy F...</c:v>
                  </c:pt>
                  <c:pt idx="3">
                    <c:v>Lava Bold N2 (Siac...</c:v>
                  </c:pt>
                  <c:pt idx="4">
                    <c:v>REDMI A7 Pro 5G (...</c:v>
                  </c:pt>
                  <c:pt idx="5">
                    <c:v>OnePlus Nord CE6 ...</c:v>
                  </c:pt>
                  <c:pt idx="6">
                    <c:v>Apple iPhone 17e ...</c:v>
                  </c:pt>
                  <c:pt idx="7">
                    <c:v>Apple iPhone Air 1...</c:v>
                  </c:pt>
                  <c:pt idx="8">
                    <c:v>Samsung Galaxy M...</c:v>
                  </c:pt>
                  <c:pt idx="9">
                    <c:v>realme NARZO 80 ...</c:v>
                  </c:pt>
                  <c:pt idx="10">
                    <c:v>Samsung Galaxy M...</c:v>
                  </c:pt>
                  <c:pt idx="11">
                    <c:v>Apple iPhone Air 2...</c:v>
                  </c:pt>
                  <c:pt idx="12">
                    <c:v>OnePlus Nord CE6 ...</c:v>
                  </c:pt>
                  <c:pt idx="13">
                    <c:v>OnePlus Nord CE6 ...</c:v>
                  </c:pt>
                  <c:pt idx="14">
                    <c:v>realme C71 4G Sm...</c:v>
                  </c:pt>
                  <c:pt idx="15">
                    <c:v>iQOO Z10R 5G (M...</c:v>
                  </c:pt>
                  <c:pt idx="16">
                    <c:v>iQOO Z10 Lite 5G (...</c:v>
                  </c:pt>
                  <c:pt idx="17">
                    <c:v>REDMI A7 Pro 5G (...</c:v>
                  </c:pt>
                  <c:pt idx="18">
                    <c:v>iQOO Z11x 5G (Pri...</c:v>
                  </c:pt>
                  <c:pt idx="19">
                    <c:v>Apple iPhone Air 2...</c:v>
                  </c:pt>
                  <c:pt idx="20">
                    <c:v>Motorola G57 Pow...</c:v>
                  </c:pt>
                  <c:pt idx="21">
                    <c:v>Samsung Galaxy M...</c:v>
                  </c:pt>
                  <c:pt idx="22">
                    <c:v>Samsung Galaxy F...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</c:lvl>
              </c:multiLvlStrCache>
            </c:multiLvlStrRef>
          </c:cat>
          <c:val>
            <c:numRef>
              <c:f>Sheet1!$C$3:$C$25</c:f>
              <c:numCache>
                <c:formatCode>General</c:formatCode>
                <c:ptCount val="23"/>
                <c:pt idx="0">
                  <c:v>4</c:v>
                </c:pt>
                <c:pt idx="1">
                  <c:v>4.0999999999999996</c:v>
                </c:pt>
                <c:pt idx="2">
                  <c:v>4.2</c:v>
                </c:pt>
                <c:pt idx="3">
                  <c:v>3.7</c:v>
                </c:pt>
                <c:pt idx="4">
                  <c:v>3.4</c:v>
                </c:pt>
                <c:pt idx="5">
                  <c:v>4.2</c:v>
                </c:pt>
                <c:pt idx="6">
                  <c:v>4.2</c:v>
                </c:pt>
                <c:pt idx="7">
                  <c:v>3.5</c:v>
                </c:pt>
                <c:pt idx="8">
                  <c:v>4.2</c:v>
                </c:pt>
                <c:pt idx="9">
                  <c:v>4.2</c:v>
                </c:pt>
                <c:pt idx="10">
                  <c:v>4.0999999999999996</c:v>
                </c:pt>
                <c:pt idx="11">
                  <c:v>4.5</c:v>
                </c:pt>
                <c:pt idx="12">
                  <c:v>4.3</c:v>
                </c:pt>
                <c:pt idx="13">
                  <c:v>4.2</c:v>
                </c:pt>
                <c:pt idx="14">
                  <c:v>4.5</c:v>
                </c:pt>
                <c:pt idx="15">
                  <c:v>4.4000000000000004</c:v>
                </c:pt>
                <c:pt idx="16">
                  <c:v>4.2</c:v>
                </c:pt>
                <c:pt idx="17">
                  <c:v>3.4</c:v>
                </c:pt>
                <c:pt idx="18">
                  <c:v>4.2</c:v>
                </c:pt>
                <c:pt idx="19">
                  <c:v>4.5999999999999996</c:v>
                </c:pt>
                <c:pt idx="20">
                  <c:v>4.3</c:v>
                </c:pt>
                <c:pt idx="21">
                  <c:v>4</c:v>
                </c:pt>
                <c:pt idx="22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B-4EDB-896F-D03F35474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10910656"/>
        <c:axId val="1610911136"/>
        <c:axId val="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Sheet1!$D$1:$D$2</c15:sqref>
                        </c15:formulaRef>
                      </c:ext>
                    </c:extLst>
                    <c:strCache>
                      <c:ptCount val="2"/>
                      <c:pt idx="0">
                        <c:v>*Amazon.in Smartphones - Octoparse Data*</c:v>
                      </c:pt>
                      <c:pt idx="1">
                        <c:v>Rating_count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tint val="77000"/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6">
                          <a:tint val="77000"/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6">
                          <a:tint val="77000"/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  <a:sp3d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Sheet1!$A$3:$B$25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Samsung Galaxy M...</c:v>
                        </c:pt>
                        <c:pt idx="1">
                          <c:v>vivo T5x 5G (Cyber...</c:v>
                        </c:pt>
                        <c:pt idx="2">
                          <c:v>Samsung Galaxy F...</c:v>
                        </c:pt>
                        <c:pt idx="3">
                          <c:v>Lava Bold N2 (Siac...</c:v>
                        </c:pt>
                        <c:pt idx="4">
                          <c:v>REDMI A7 Pro 5G (...</c:v>
                        </c:pt>
                        <c:pt idx="5">
                          <c:v>OnePlus Nord CE6 ...</c:v>
                        </c:pt>
                        <c:pt idx="6">
                          <c:v>Apple iPhone 17e ...</c:v>
                        </c:pt>
                        <c:pt idx="7">
                          <c:v>Apple iPhone Air 1...</c:v>
                        </c:pt>
                        <c:pt idx="8">
                          <c:v>Samsung Galaxy M...</c:v>
                        </c:pt>
                        <c:pt idx="9">
                          <c:v>realme NARZO 80 ...</c:v>
                        </c:pt>
                        <c:pt idx="10">
                          <c:v>Samsung Galaxy M...</c:v>
                        </c:pt>
                        <c:pt idx="11">
                          <c:v>Apple iPhone Air 2...</c:v>
                        </c:pt>
                        <c:pt idx="12">
                          <c:v>OnePlus Nord CE6 ...</c:v>
                        </c:pt>
                        <c:pt idx="13">
                          <c:v>OnePlus Nord CE6 ...</c:v>
                        </c:pt>
                        <c:pt idx="14">
                          <c:v>realme C71 4G Sm...</c:v>
                        </c:pt>
                        <c:pt idx="15">
                          <c:v>iQOO Z10R 5G (M...</c:v>
                        </c:pt>
                        <c:pt idx="16">
                          <c:v>iQOO Z10 Lite 5G (...</c:v>
                        </c:pt>
                        <c:pt idx="17">
                          <c:v>REDMI A7 Pro 5G (...</c:v>
                        </c:pt>
                        <c:pt idx="18">
                          <c:v>iQOO Z11x 5G (Pri...</c:v>
                        </c:pt>
                        <c:pt idx="19">
                          <c:v>Apple iPhone Air 2...</c:v>
                        </c:pt>
                        <c:pt idx="20">
                          <c:v>Motorola G57 Pow...</c:v>
                        </c:pt>
                        <c:pt idx="21">
                          <c:v>Samsung Galaxy M...</c:v>
                        </c:pt>
                        <c:pt idx="22">
                          <c:v>Samsung Galaxy F...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13</c:v>
                        </c:pt>
                        <c:pt idx="13">
                          <c:v>14</c:v>
                        </c:pt>
                        <c:pt idx="14">
                          <c:v>15</c:v>
                        </c:pt>
                        <c:pt idx="15">
                          <c:v>16</c:v>
                        </c:pt>
                        <c:pt idx="16">
                          <c:v>17</c:v>
                        </c:pt>
                        <c:pt idx="17">
                          <c:v>18</c:v>
                        </c:pt>
                        <c:pt idx="18">
                          <c:v>19</c:v>
                        </c:pt>
                        <c:pt idx="19">
                          <c:v>20</c:v>
                        </c:pt>
                        <c:pt idx="20">
                          <c:v>21</c:v>
                        </c:pt>
                        <c:pt idx="21">
                          <c:v>22</c:v>
                        </c:pt>
                        <c:pt idx="22">
                          <c:v>23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Sheet1!$D$3:$D$25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529</c:v>
                      </c:pt>
                      <c:pt idx="1">
                        <c:v>107</c:v>
                      </c:pt>
                      <c:pt idx="2">
                        <c:v>165</c:v>
                      </c:pt>
                      <c:pt idx="3">
                        <c:v>247</c:v>
                      </c:pt>
                      <c:pt idx="4">
                        <c:v>913</c:v>
                      </c:pt>
                      <c:pt idx="5">
                        <c:v>1100</c:v>
                      </c:pt>
                      <c:pt idx="6">
                        <c:v>66</c:v>
                      </c:pt>
                      <c:pt idx="7">
                        <c:v>3</c:v>
                      </c:pt>
                      <c:pt idx="8">
                        <c:v>1700</c:v>
                      </c:pt>
                      <c:pt idx="9">
                        <c:v>3000</c:v>
                      </c:pt>
                      <c:pt idx="10">
                        <c:v>2800</c:v>
                      </c:pt>
                      <c:pt idx="11">
                        <c:v>58</c:v>
                      </c:pt>
                      <c:pt idx="12">
                        <c:v>838</c:v>
                      </c:pt>
                      <c:pt idx="13">
                        <c:v>1100</c:v>
                      </c:pt>
                      <c:pt idx="14">
                        <c:v>2400</c:v>
                      </c:pt>
                      <c:pt idx="15">
                        <c:v>4700</c:v>
                      </c:pt>
                      <c:pt idx="16">
                        <c:v>7600</c:v>
                      </c:pt>
                      <c:pt idx="17">
                        <c:v>913</c:v>
                      </c:pt>
                      <c:pt idx="18">
                        <c:v>1100</c:v>
                      </c:pt>
                      <c:pt idx="19">
                        <c:v>54</c:v>
                      </c:pt>
                      <c:pt idx="20">
                        <c:v>581</c:v>
                      </c:pt>
                      <c:pt idx="21">
                        <c:v>3500</c:v>
                      </c:pt>
                      <c:pt idx="22">
                        <c:v>198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BBB-4EDB-896F-D03F354740D4}"/>
                  </c:ext>
                </c:extLst>
              </c15:ser>
            </c15:filteredBarSeries>
          </c:ext>
        </c:extLst>
      </c:bar3DChart>
      <c:catAx>
        <c:axId val="161091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911136"/>
        <c:crosses val="autoZero"/>
        <c:auto val="1"/>
        <c:lblAlgn val="ctr"/>
        <c:lblOffset val="100"/>
        <c:noMultiLvlLbl val="0"/>
      </c:catAx>
      <c:valAx>
        <c:axId val="161091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91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 of rating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Sheet1!$C$1:$C$2</c:f>
              <c:strCache>
                <c:ptCount val="2"/>
                <c:pt idx="0">
                  <c:v>*Amazon.in Smartphones - Octoparse Data*</c:v>
                </c:pt>
                <c:pt idx="1">
                  <c:v>Stars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Sheet1!$A$3:$B$25</c:f>
              <c:multiLvlStrCache>
                <c:ptCount val="23"/>
                <c:lvl>
                  <c:pt idx="0">
                    <c:v>Samsung Galaxy M...</c:v>
                  </c:pt>
                  <c:pt idx="1">
                    <c:v>vivo T5x 5G (Cyber...</c:v>
                  </c:pt>
                  <c:pt idx="2">
                    <c:v>Samsung Galaxy F...</c:v>
                  </c:pt>
                  <c:pt idx="3">
                    <c:v>Lava Bold N2 (Siac...</c:v>
                  </c:pt>
                  <c:pt idx="4">
                    <c:v>REDMI A7 Pro 5G (...</c:v>
                  </c:pt>
                  <c:pt idx="5">
                    <c:v>OnePlus Nord CE6 ...</c:v>
                  </c:pt>
                  <c:pt idx="6">
                    <c:v>Apple iPhone 17e ...</c:v>
                  </c:pt>
                  <c:pt idx="7">
                    <c:v>Apple iPhone Air 1...</c:v>
                  </c:pt>
                  <c:pt idx="8">
                    <c:v>Samsung Galaxy M...</c:v>
                  </c:pt>
                  <c:pt idx="9">
                    <c:v>realme NARZO 80 ...</c:v>
                  </c:pt>
                  <c:pt idx="10">
                    <c:v>Samsung Galaxy M...</c:v>
                  </c:pt>
                  <c:pt idx="11">
                    <c:v>Apple iPhone Air 2...</c:v>
                  </c:pt>
                  <c:pt idx="12">
                    <c:v>OnePlus Nord CE6 ...</c:v>
                  </c:pt>
                  <c:pt idx="13">
                    <c:v>OnePlus Nord CE6 ...</c:v>
                  </c:pt>
                  <c:pt idx="14">
                    <c:v>realme C71 4G Sm...</c:v>
                  </c:pt>
                  <c:pt idx="15">
                    <c:v>iQOO Z10R 5G (M...</c:v>
                  </c:pt>
                  <c:pt idx="16">
                    <c:v>iQOO Z10 Lite 5G (...</c:v>
                  </c:pt>
                  <c:pt idx="17">
                    <c:v>REDMI A7 Pro 5G (...</c:v>
                  </c:pt>
                  <c:pt idx="18">
                    <c:v>iQOO Z11x 5G (Pri...</c:v>
                  </c:pt>
                  <c:pt idx="19">
                    <c:v>Apple iPhone Air 2...</c:v>
                  </c:pt>
                  <c:pt idx="20">
                    <c:v>Motorola G57 Pow...</c:v>
                  </c:pt>
                  <c:pt idx="21">
                    <c:v>Samsung Galaxy M...</c:v>
                  </c:pt>
                  <c:pt idx="22">
                    <c:v>Samsung Galaxy F...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</c:lvl>
              </c:multiLvlStrCache>
            </c:multiLvlStrRef>
          </c:cat>
          <c:val>
            <c:numRef>
              <c:f>Sheet1!$C$3:$C$25</c:f>
              <c:numCache>
                <c:formatCode>General</c:formatCode>
                <c:ptCount val="23"/>
                <c:pt idx="0">
                  <c:v>4</c:v>
                </c:pt>
                <c:pt idx="1">
                  <c:v>4.0999999999999996</c:v>
                </c:pt>
                <c:pt idx="2">
                  <c:v>4.2</c:v>
                </c:pt>
                <c:pt idx="3">
                  <c:v>3.7</c:v>
                </c:pt>
                <c:pt idx="4">
                  <c:v>3.4</c:v>
                </c:pt>
                <c:pt idx="5">
                  <c:v>4.2</c:v>
                </c:pt>
                <c:pt idx="6">
                  <c:v>4.2</c:v>
                </c:pt>
                <c:pt idx="7">
                  <c:v>3.5</c:v>
                </c:pt>
                <c:pt idx="8">
                  <c:v>4.2</c:v>
                </c:pt>
                <c:pt idx="9">
                  <c:v>4.2</c:v>
                </c:pt>
                <c:pt idx="10">
                  <c:v>4.0999999999999996</c:v>
                </c:pt>
                <c:pt idx="11">
                  <c:v>4.5</c:v>
                </c:pt>
                <c:pt idx="12">
                  <c:v>4.3</c:v>
                </c:pt>
                <c:pt idx="13">
                  <c:v>4.2</c:v>
                </c:pt>
                <c:pt idx="14">
                  <c:v>4.5</c:v>
                </c:pt>
                <c:pt idx="15">
                  <c:v>4.4000000000000004</c:v>
                </c:pt>
                <c:pt idx="16">
                  <c:v>4.2</c:v>
                </c:pt>
                <c:pt idx="17">
                  <c:v>3.4</c:v>
                </c:pt>
                <c:pt idx="18">
                  <c:v>4.2</c:v>
                </c:pt>
                <c:pt idx="19">
                  <c:v>4.5999999999999996</c:v>
                </c:pt>
                <c:pt idx="20">
                  <c:v>4.3</c:v>
                </c:pt>
                <c:pt idx="21">
                  <c:v>4</c:v>
                </c:pt>
                <c:pt idx="22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D-4284-94DE-224C64320813}"/>
            </c:ext>
          </c:extLst>
        </c:ser>
        <c:ser>
          <c:idx val="1"/>
          <c:order val="1"/>
          <c:tx>
            <c:strRef>
              <c:f>Sheet1!$D$1:$D$2</c:f>
              <c:strCache>
                <c:ptCount val="2"/>
                <c:pt idx="0">
                  <c:v>*Amazon.in Smartphones - Octoparse Data*</c:v>
                </c:pt>
                <c:pt idx="1">
                  <c:v>Rating_count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multiLvlStrRef>
              <c:f>Sheet1!$A$3:$B$25</c:f>
              <c:multiLvlStrCache>
                <c:ptCount val="23"/>
                <c:lvl>
                  <c:pt idx="0">
                    <c:v>Samsung Galaxy M...</c:v>
                  </c:pt>
                  <c:pt idx="1">
                    <c:v>vivo T5x 5G (Cyber...</c:v>
                  </c:pt>
                  <c:pt idx="2">
                    <c:v>Samsung Galaxy F...</c:v>
                  </c:pt>
                  <c:pt idx="3">
                    <c:v>Lava Bold N2 (Siac...</c:v>
                  </c:pt>
                  <c:pt idx="4">
                    <c:v>REDMI A7 Pro 5G (...</c:v>
                  </c:pt>
                  <c:pt idx="5">
                    <c:v>OnePlus Nord CE6 ...</c:v>
                  </c:pt>
                  <c:pt idx="6">
                    <c:v>Apple iPhone 17e ...</c:v>
                  </c:pt>
                  <c:pt idx="7">
                    <c:v>Apple iPhone Air 1...</c:v>
                  </c:pt>
                  <c:pt idx="8">
                    <c:v>Samsung Galaxy M...</c:v>
                  </c:pt>
                  <c:pt idx="9">
                    <c:v>realme NARZO 80 ...</c:v>
                  </c:pt>
                  <c:pt idx="10">
                    <c:v>Samsung Galaxy M...</c:v>
                  </c:pt>
                  <c:pt idx="11">
                    <c:v>Apple iPhone Air 2...</c:v>
                  </c:pt>
                  <c:pt idx="12">
                    <c:v>OnePlus Nord CE6 ...</c:v>
                  </c:pt>
                  <c:pt idx="13">
                    <c:v>OnePlus Nord CE6 ...</c:v>
                  </c:pt>
                  <c:pt idx="14">
                    <c:v>realme C71 4G Sm...</c:v>
                  </c:pt>
                  <c:pt idx="15">
                    <c:v>iQOO Z10R 5G (M...</c:v>
                  </c:pt>
                  <c:pt idx="16">
                    <c:v>iQOO Z10 Lite 5G (...</c:v>
                  </c:pt>
                  <c:pt idx="17">
                    <c:v>REDMI A7 Pro 5G (...</c:v>
                  </c:pt>
                  <c:pt idx="18">
                    <c:v>iQOO Z11x 5G (Pri...</c:v>
                  </c:pt>
                  <c:pt idx="19">
                    <c:v>Apple iPhone Air 2...</c:v>
                  </c:pt>
                  <c:pt idx="20">
                    <c:v>Motorola G57 Pow...</c:v>
                  </c:pt>
                  <c:pt idx="21">
                    <c:v>Samsung Galaxy M...</c:v>
                  </c:pt>
                  <c:pt idx="22">
                    <c:v>Samsung Galaxy F...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</c:lvl>
              </c:multiLvlStrCache>
            </c:multiLvlStrRef>
          </c:cat>
          <c:val>
            <c:numRef>
              <c:f>Sheet1!$D$3:$D$25</c:f>
              <c:numCache>
                <c:formatCode>General</c:formatCode>
                <c:ptCount val="23"/>
                <c:pt idx="0">
                  <c:v>529</c:v>
                </c:pt>
                <c:pt idx="1">
                  <c:v>107</c:v>
                </c:pt>
                <c:pt idx="2">
                  <c:v>165</c:v>
                </c:pt>
                <c:pt idx="3">
                  <c:v>247</c:v>
                </c:pt>
                <c:pt idx="4">
                  <c:v>913</c:v>
                </c:pt>
                <c:pt idx="5">
                  <c:v>1100</c:v>
                </c:pt>
                <c:pt idx="6">
                  <c:v>66</c:v>
                </c:pt>
                <c:pt idx="7">
                  <c:v>3</c:v>
                </c:pt>
                <c:pt idx="8">
                  <c:v>1700</c:v>
                </c:pt>
                <c:pt idx="9">
                  <c:v>3000</c:v>
                </c:pt>
                <c:pt idx="10">
                  <c:v>2800</c:v>
                </c:pt>
                <c:pt idx="11">
                  <c:v>58</c:v>
                </c:pt>
                <c:pt idx="12">
                  <c:v>838</c:v>
                </c:pt>
                <c:pt idx="13">
                  <c:v>1100</c:v>
                </c:pt>
                <c:pt idx="14">
                  <c:v>2400</c:v>
                </c:pt>
                <c:pt idx="15">
                  <c:v>4700</c:v>
                </c:pt>
                <c:pt idx="16">
                  <c:v>7600</c:v>
                </c:pt>
                <c:pt idx="17">
                  <c:v>913</c:v>
                </c:pt>
                <c:pt idx="18">
                  <c:v>1100</c:v>
                </c:pt>
                <c:pt idx="19">
                  <c:v>54</c:v>
                </c:pt>
                <c:pt idx="20">
                  <c:v>581</c:v>
                </c:pt>
                <c:pt idx="21">
                  <c:v>3500</c:v>
                </c:pt>
                <c:pt idx="22">
                  <c:v>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0D-4284-94DE-224C64320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854496"/>
        <c:axId val="1679860736"/>
      </c:lineChart>
      <c:catAx>
        <c:axId val="167985449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60736"/>
        <c:crosses val="autoZero"/>
        <c:auto val="1"/>
        <c:lblAlgn val="ctr"/>
        <c:lblOffset val="100"/>
        <c:noMultiLvlLbl val="0"/>
      </c:catAx>
      <c:valAx>
        <c:axId val="16798607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5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2516982768458291"/>
          <c:y val="0.12715203563750113"/>
          <c:w val="0.63849399220679404"/>
          <c:h val="0.156935516192699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*Amazon.in Smartphones - Rating_count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839020122484685E-2"/>
          <c:y val="9.2390045172247193E-2"/>
          <c:w val="0.85013939924176141"/>
          <c:h val="0.54030071667986468"/>
        </c:manualLayout>
      </c:layout>
      <c:pie3DChart>
        <c:varyColors val="1"/>
        <c:ser>
          <c:idx val="1"/>
          <c:order val="1"/>
          <c:tx>
            <c:strRef>
              <c:f>Sheet1!$D$1:$D$2</c:f>
              <c:strCache>
                <c:ptCount val="2"/>
                <c:pt idx="0">
                  <c:v>*Amazon.in Smartphones - Octoparse Data*</c:v>
                </c:pt>
                <c:pt idx="1">
                  <c:v>Rating_count</c:v>
                </c:pt>
              </c:strCache>
            </c:strRef>
          </c:tx>
          <c:explosion val="7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64D6-4964-B688-D90208C826B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64D6-4964-B688-D90208C826B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64D6-4964-B688-D90208C826B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64D6-4964-B688-D90208C826B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64D6-4964-B688-D90208C826B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64D6-4964-B688-D90208C826BA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64D6-4964-B688-D90208C826BA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64D6-4964-B688-D90208C826BA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64D6-4964-B688-D90208C826BA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64D6-4964-B688-D90208C826BA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5-64D6-4964-B688-D90208C826BA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7-64D6-4964-B688-D90208C826BA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9-64D6-4964-B688-D90208C826BA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B-64D6-4964-B688-D90208C826BA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D-64D6-4964-B688-D90208C826BA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F-64D6-4964-B688-D90208C826BA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1-64D6-4964-B688-D90208C826BA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3-64D6-4964-B688-D90208C826BA}"/>
              </c:ext>
            </c:extLst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5-64D6-4964-B688-D90208C826BA}"/>
              </c:ext>
            </c:extLst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7-64D6-4964-B688-D90208C826BA}"/>
              </c:ext>
            </c:extLst>
          </c:dPt>
          <c:dPt>
            <c:idx val="2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9-64D6-4964-B688-D90208C826BA}"/>
              </c:ext>
            </c:extLst>
          </c:dPt>
          <c:dPt>
            <c:idx val="2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B-64D6-4964-B688-D90208C826BA}"/>
              </c:ext>
            </c:extLst>
          </c:dPt>
          <c:dPt>
            <c:idx val="22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2D-64D6-4964-B688-D90208C826BA}"/>
              </c:ext>
            </c:extLst>
          </c:dPt>
          <c:cat>
            <c:multiLvlStrRef>
              <c:f>Sheet1!$A$3:$B$25</c:f>
              <c:multiLvlStrCache>
                <c:ptCount val="23"/>
                <c:lvl>
                  <c:pt idx="0">
                    <c:v>Samsung Galaxy M...</c:v>
                  </c:pt>
                  <c:pt idx="1">
                    <c:v>vivo T5x 5G (Cyber...</c:v>
                  </c:pt>
                  <c:pt idx="2">
                    <c:v>Samsung Galaxy F...</c:v>
                  </c:pt>
                  <c:pt idx="3">
                    <c:v>Lava Bold N2 (Siac...</c:v>
                  </c:pt>
                  <c:pt idx="4">
                    <c:v>REDMI A7 Pro 5G (...</c:v>
                  </c:pt>
                  <c:pt idx="5">
                    <c:v>OnePlus Nord CE6 ...</c:v>
                  </c:pt>
                  <c:pt idx="6">
                    <c:v>Apple iPhone 17e ...</c:v>
                  </c:pt>
                  <c:pt idx="7">
                    <c:v>Apple iPhone Air 1...</c:v>
                  </c:pt>
                  <c:pt idx="8">
                    <c:v>Samsung Galaxy M...</c:v>
                  </c:pt>
                  <c:pt idx="9">
                    <c:v>realme NARZO 80 ...</c:v>
                  </c:pt>
                  <c:pt idx="10">
                    <c:v>Samsung Galaxy M...</c:v>
                  </c:pt>
                  <c:pt idx="11">
                    <c:v>Apple iPhone Air 2...</c:v>
                  </c:pt>
                  <c:pt idx="12">
                    <c:v>OnePlus Nord CE6 ...</c:v>
                  </c:pt>
                  <c:pt idx="13">
                    <c:v>OnePlus Nord CE6 ...</c:v>
                  </c:pt>
                  <c:pt idx="14">
                    <c:v>realme C71 4G Sm...</c:v>
                  </c:pt>
                  <c:pt idx="15">
                    <c:v>iQOO Z10R 5G (M...</c:v>
                  </c:pt>
                  <c:pt idx="16">
                    <c:v>iQOO Z10 Lite 5G (...</c:v>
                  </c:pt>
                  <c:pt idx="17">
                    <c:v>REDMI A7 Pro 5G (...</c:v>
                  </c:pt>
                  <c:pt idx="18">
                    <c:v>iQOO Z11x 5G (Pri...</c:v>
                  </c:pt>
                  <c:pt idx="19">
                    <c:v>Apple iPhone Air 2...</c:v>
                  </c:pt>
                  <c:pt idx="20">
                    <c:v>Motorola G57 Pow...</c:v>
                  </c:pt>
                  <c:pt idx="21">
                    <c:v>Samsung Galaxy M...</c:v>
                  </c:pt>
                  <c:pt idx="22">
                    <c:v>Samsung Galaxy F...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</c:lvl>
              </c:multiLvlStrCache>
            </c:multiLvlStrRef>
          </c:cat>
          <c:val>
            <c:numRef>
              <c:f>Sheet1!$D$3:$D$25</c:f>
              <c:numCache>
                <c:formatCode>General</c:formatCode>
                <c:ptCount val="23"/>
                <c:pt idx="0">
                  <c:v>529</c:v>
                </c:pt>
                <c:pt idx="1">
                  <c:v>107</c:v>
                </c:pt>
                <c:pt idx="2">
                  <c:v>165</c:v>
                </c:pt>
                <c:pt idx="3">
                  <c:v>247</c:v>
                </c:pt>
                <c:pt idx="4">
                  <c:v>913</c:v>
                </c:pt>
                <c:pt idx="5">
                  <c:v>1100</c:v>
                </c:pt>
                <c:pt idx="6">
                  <c:v>66</c:v>
                </c:pt>
                <c:pt idx="7">
                  <c:v>3</c:v>
                </c:pt>
                <c:pt idx="8">
                  <c:v>1700</c:v>
                </c:pt>
                <c:pt idx="9">
                  <c:v>3000</c:v>
                </c:pt>
                <c:pt idx="10">
                  <c:v>2800</c:v>
                </c:pt>
                <c:pt idx="11">
                  <c:v>58</c:v>
                </c:pt>
                <c:pt idx="12">
                  <c:v>838</c:v>
                </c:pt>
                <c:pt idx="13">
                  <c:v>1100</c:v>
                </c:pt>
                <c:pt idx="14">
                  <c:v>2400</c:v>
                </c:pt>
                <c:pt idx="15">
                  <c:v>4700</c:v>
                </c:pt>
                <c:pt idx="16">
                  <c:v>7600</c:v>
                </c:pt>
                <c:pt idx="17">
                  <c:v>913</c:v>
                </c:pt>
                <c:pt idx="18">
                  <c:v>1100</c:v>
                </c:pt>
                <c:pt idx="19">
                  <c:v>54</c:v>
                </c:pt>
                <c:pt idx="20">
                  <c:v>581</c:v>
                </c:pt>
                <c:pt idx="21">
                  <c:v>3500</c:v>
                </c:pt>
                <c:pt idx="22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6-4476-9AA1-59B22A52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Sheet1!$C$1:$C$2</c15:sqref>
                        </c15:formulaRef>
                      </c:ext>
                    </c:extLst>
                    <c:strCache>
                      <c:ptCount val="2"/>
                      <c:pt idx="0">
                        <c:v>*Amazon.in Smartphones - Octoparse Data*</c:v>
                      </c:pt>
                      <c:pt idx="1">
                        <c:v>Stars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 rotWithShape="1">
                      <a:gsLst>
                        <a:gs pos="0">
                          <a:schemeClr val="accent1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2F-64D6-4964-B688-D90208C826BA}"/>
                    </c:ext>
                  </c:extLst>
                </c:dPt>
                <c:dPt>
                  <c:idx val="1"/>
                  <c:bubble3D val="0"/>
                  <c:spPr>
                    <a:gradFill rotWithShape="1">
                      <a:gsLst>
                        <a:gs pos="0">
                          <a:schemeClr val="accent2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1-64D6-4964-B688-D90208C826BA}"/>
                    </c:ext>
                  </c:extLst>
                </c:dPt>
                <c:dPt>
                  <c:idx val="2"/>
                  <c:bubble3D val="0"/>
                  <c:spPr>
                    <a:gradFill rotWithShape="1">
                      <a:gsLst>
                        <a:gs pos="0">
                          <a:schemeClr val="accent3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3-64D6-4964-B688-D90208C826BA}"/>
                    </c:ext>
                  </c:extLst>
                </c:dPt>
                <c:dPt>
                  <c:idx val="3"/>
                  <c:bubble3D val="0"/>
                  <c:spPr>
                    <a:gradFill rotWithShape="1">
                      <a:gsLst>
                        <a:gs pos="0">
                          <a:schemeClr val="accent4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5-64D6-4964-B688-D90208C826BA}"/>
                    </c:ext>
                  </c:extLst>
                </c:dPt>
                <c:dPt>
                  <c:idx val="4"/>
                  <c:bubble3D val="0"/>
                  <c:spPr>
                    <a:gradFill rotWithShape="1">
                      <a:gsLst>
                        <a:gs pos="0">
                          <a:schemeClr val="accent5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7-64D6-4964-B688-D90208C826BA}"/>
                    </c:ext>
                  </c:extLst>
                </c:dPt>
                <c:dPt>
                  <c:idx val="5"/>
                  <c:bubble3D val="0"/>
                  <c:spPr>
                    <a:gradFill rotWithShape="1">
                      <a:gsLst>
                        <a:gs pos="0">
                          <a:schemeClr val="accent6"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9-64D6-4964-B688-D90208C826BA}"/>
                    </c:ext>
                  </c:extLst>
                </c:dPt>
                <c:dPt>
                  <c:idx val="6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B-64D6-4964-B688-D90208C826BA}"/>
                    </c:ext>
                  </c:extLst>
                </c:dPt>
                <c:dPt>
                  <c:idx val="7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D-64D6-4964-B688-D90208C826BA}"/>
                    </c:ext>
                  </c:extLst>
                </c:dPt>
                <c:dPt>
                  <c:idx val="8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3F-64D6-4964-B688-D90208C826BA}"/>
                    </c:ext>
                  </c:extLst>
                </c:dPt>
                <c:dPt>
                  <c:idx val="9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41-64D6-4964-B688-D90208C826BA}"/>
                    </c:ext>
                  </c:extLst>
                </c:dPt>
                <c:dPt>
                  <c:idx val="10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43-64D6-4964-B688-D90208C826BA}"/>
                    </c:ext>
                  </c:extLst>
                </c:dPt>
                <c:dPt>
                  <c:idx val="11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6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6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6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45-64D6-4964-B688-D90208C826BA}"/>
                    </c:ext>
                  </c:extLst>
                </c:dPt>
                <c:dPt>
                  <c:idx val="12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47-64D6-4964-B688-D90208C826BA}"/>
                    </c:ext>
                  </c:extLst>
                </c:dPt>
                <c:dPt>
                  <c:idx val="13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49-64D6-4964-B688-D90208C826BA}"/>
                    </c:ext>
                  </c:extLst>
                </c:dPt>
                <c:dPt>
                  <c:idx val="14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4B-64D6-4964-B688-D90208C826BA}"/>
                    </c:ext>
                  </c:extLst>
                </c:dPt>
                <c:dPt>
                  <c:idx val="15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4D-64D6-4964-B688-D90208C826BA}"/>
                    </c:ext>
                  </c:extLst>
                </c:dPt>
                <c:dPt>
                  <c:idx val="16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4F-64D6-4964-B688-D90208C826BA}"/>
                    </c:ext>
                  </c:extLst>
                </c:dPt>
                <c:dPt>
                  <c:idx val="17"/>
                  <c:bubble3D val="0"/>
                  <c:spPr>
                    <a:gradFill rotWithShape="1">
                      <a:gsLst>
                        <a:gs pos="0">
                          <a:schemeClr val="accent6">
                            <a:lumMod val="80000"/>
                            <a:lumOff val="2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6">
                            <a:lumMod val="80000"/>
                            <a:lumOff val="2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6">
                            <a:lumMod val="80000"/>
                            <a:lumOff val="2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51-64D6-4964-B688-D90208C826BA}"/>
                    </c:ext>
                  </c:extLst>
                </c:dPt>
                <c:dPt>
                  <c:idx val="18"/>
                  <c:bubble3D val="0"/>
                  <c:spPr>
                    <a:gradFill rotWithShape="1">
                      <a:gsLst>
                        <a:gs pos="0">
                          <a:schemeClr val="accent1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1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1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53-64D6-4964-B688-D90208C826BA}"/>
                    </c:ext>
                  </c:extLst>
                </c:dPt>
                <c:dPt>
                  <c:idx val="19"/>
                  <c:bubble3D val="0"/>
                  <c:spPr>
                    <a:gradFill rotWithShape="1">
                      <a:gsLst>
                        <a:gs pos="0">
                          <a:schemeClr val="accent2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2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2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55-64D6-4964-B688-D90208C826BA}"/>
                    </c:ext>
                  </c:extLst>
                </c:dPt>
                <c:dPt>
                  <c:idx val="20"/>
                  <c:bubble3D val="0"/>
                  <c:spPr>
                    <a:gradFill rotWithShape="1">
                      <a:gsLst>
                        <a:gs pos="0">
                          <a:schemeClr val="accent3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3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3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57-64D6-4964-B688-D90208C826BA}"/>
                    </c:ext>
                  </c:extLst>
                </c:dPt>
                <c:dPt>
                  <c:idx val="21"/>
                  <c:bubble3D val="0"/>
                  <c:spPr>
                    <a:gradFill rotWithShape="1">
                      <a:gsLst>
                        <a:gs pos="0">
                          <a:schemeClr val="accent4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4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4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59-64D6-4964-B688-D90208C826BA}"/>
                    </c:ext>
                  </c:extLst>
                </c:dPt>
                <c:dPt>
                  <c:idx val="22"/>
                  <c:bubble3D val="0"/>
                  <c:spPr>
                    <a:gradFill rotWithShape="1">
                      <a:gsLst>
                        <a:gs pos="0">
                          <a:schemeClr val="accent5">
                            <a:lumMod val="80000"/>
                            <a:satMod val="103000"/>
                            <a:lumMod val="102000"/>
                            <a:tint val="94000"/>
                          </a:schemeClr>
                        </a:gs>
                        <a:gs pos="50000">
                          <a:schemeClr val="accent5">
                            <a:lumMod val="80000"/>
                            <a:satMod val="110000"/>
                            <a:lumMod val="100000"/>
                            <a:shade val="100000"/>
                          </a:schemeClr>
                        </a:gs>
                        <a:gs pos="100000">
                          <a:schemeClr val="accent5">
                            <a:lumMod val="80000"/>
                            <a:lumMod val="99000"/>
                            <a:satMod val="120000"/>
                            <a:shade val="78000"/>
                          </a:schemeClr>
                        </a:gs>
                      </a:gsLst>
                      <a:lin ang="5400000" scaled="0"/>
                    </a:gradFill>
                    <a:ln>
                      <a:noFill/>
                    </a:ln>
                    <a:effectLst>
                      <a:outerShdw blurRad="57150" dist="19050" dir="5400000" algn="ctr" rotWithShape="0">
                        <a:srgbClr val="000000">
                          <a:alpha val="63000"/>
                        </a:srgbClr>
                      </a:outerShdw>
                    </a:effectLst>
                    <a:sp3d/>
                  </c:spPr>
                  <c:extLst>
                    <c:ext xmlns:c16="http://schemas.microsoft.com/office/drawing/2014/chart" uri="{C3380CC4-5D6E-409C-BE32-E72D297353CC}">
                      <c16:uniqueId val="{0000005B-64D6-4964-B688-D90208C826BA}"/>
                    </c:ext>
                  </c:extLst>
                </c:dPt>
                <c:cat>
                  <c:multiLvlStrRef>
                    <c:extLst>
                      <c:ext uri="{02D57815-91ED-43cb-92C2-25804820EDAC}">
                        <c15:formulaRef>
                          <c15:sqref>Sheet1!$A$3:$B$25</c15:sqref>
                        </c15:formulaRef>
                      </c:ext>
                    </c:extLst>
                    <c:multiLvlStrCache>
                      <c:ptCount val="23"/>
                      <c:lvl>
                        <c:pt idx="0">
                          <c:v>Samsung Galaxy M...</c:v>
                        </c:pt>
                        <c:pt idx="1">
                          <c:v>vivo T5x 5G (Cyber...</c:v>
                        </c:pt>
                        <c:pt idx="2">
                          <c:v>Samsung Galaxy F...</c:v>
                        </c:pt>
                        <c:pt idx="3">
                          <c:v>Lava Bold N2 (Siac...</c:v>
                        </c:pt>
                        <c:pt idx="4">
                          <c:v>REDMI A7 Pro 5G (...</c:v>
                        </c:pt>
                        <c:pt idx="5">
                          <c:v>OnePlus Nord CE6 ...</c:v>
                        </c:pt>
                        <c:pt idx="6">
                          <c:v>Apple iPhone 17e ...</c:v>
                        </c:pt>
                        <c:pt idx="7">
                          <c:v>Apple iPhone Air 1...</c:v>
                        </c:pt>
                        <c:pt idx="8">
                          <c:v>Samsung Galaxy M...</c:v>
                        </c:pt>
                        <c:pt idx="9">
                          <c:v>realme NARZO 80 ...</c:v>
                        </c:pt>
                        <c:pt idx="10">
                          <c:v>Samsung Galaxy M...</c:v>
                        </c:pt>
                        <c:pt idx="11">
                          <c:v>Apple iPhone Air 2...</c:v>
                        </c:pt>
                        <c:pt idx="12">
                          <c:v>OnePlus Nord CE6 ...</c:v>
                        </c:pt>
                        <c:pt idx="13">
                          <c:v>OnePlus Nord CE6 ...</c:v>
                        </c:pt>
                        <c:pt idx="14">
                          <c:v>realme C71 4G Sm...</c:v>
                        </c:pt>
                        <c:pt idx="15">
                          <c:v>iQOO Z10R 5G (M...</c:v>
                        </c:pt>
                        <c:pt idx="16">
                          <c:v>iQOO Z10 Lite 5G (...</c:v>
                        </c:pt>
                        <c:pt idx="17">
                          <c:v>REDMI A7 Pro 5G (...</c:v>
                        </c:pt>
                        <c:pt idx="18">
                          <c:v>iQOO Z11x 5G (Pri...</c:v>
                        </c:pt>
                        <c:pt idx="19">
                          <c:v>Apple iPhone Air 2...</c:v>
                        </c:pt>
                        <c:pt idx="20">
                          <c:v>Motorola G57 Pow...</c:v>
                        </c:pt>
                        <c:pt idx="21">
                          <c:v>Samsung Galaxy M...</c:v>
                        </c:pt>
                        <c:pt idx="22">
                          <c:v>Samsung Galaxy F...</c:v>
                        </c:pt>
                      </c:lvl>
                      <c:lvl>
                        <c:pt idx="0">
                          <c:v>1</c:v>
                        </c:pt>
                        <c:pt idx="1">
                          <c:v>2</c:v>
                        </c:pt>
                        <c:pt idx="2">
                          <c:v>3</c:v>
                        </c:pt>
                        <c:pt idx="3">
                          <c:v>4</c:v>
                        </c:pt>
                        <c:pt idx="4">
                          <c:v>5</c:v>
                        </c:pt>
                        <c:pt idx="5">
                          <c:v>6</c:v>
                        </c:pt>
                        <c:pt idx="6">
                          <c:v>7</c:v>
                        </c:pt>
                        <c:pt idx="7">
                          <c:v>8</c:v>
                        </c:pt>
                        <c:pt idx="8">
                          <c:v>9</c:v>
                        </c:pt>
                        <c:pt idx="9">
                          <c:v>10</c:v>
                        </c:pt>
                        <c:pt idx="10">
                          <c:v>11</c:v>
                        </c:pt>
                        <c:pt idx="11">
                          <c:v>12</c:v>
                        </c:pt>
                        <c:pt idx="12">
                          <c:v>13</c:v>
                        </c:pt>
                        <c:pt idx="13">
                          <c:v>14</c:v>
                        </c:pt>
                        <c:pt idx="14">
                          <c:v>15</c:v>
                        </c:pt>
                        <c:pt idx="15">
                          <c:v>16</c:v>
                        </c:pt>
                        <c:pt idx="16">
                          <c:v>17</c:v>
                        </c:pt>
                        <c:pt idx="17">
                          <c:v>18</c:v>
                        </c:pt>
                        <c:pt idx="18">
                          <c:v>19</c:v>
                        </c:pt>
                        <c:pt idx="19">
                          <c:v>20</c:v>
                        </c:pt>
                        <c:pt idx="20">
                          <c:v>21</c:v>
                        </c:pt>
                        <c:pt idx="21">
                          <c:v>22</c:v>
                        </c:pt>
                        <c:pt idx="22">
                          <c:v>23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Sheet1!$C$3:$C$25</c15:sqref>
                        </c15:formulaRef>
                      </c:ext>
                    </c:extLst>
                    <c:numCache>
                      <c:formatCode>General</c:formatCode>
                      <c:ptCount val="23"/>
                      <c:pt idx="0">
                        <c:v>4</c:v>
                      </c:pt>
                      <c:pt idx="1">
                        <c:v>4.0999999999999996</c:v>
                      </c:pt>
                      <c:pt idx="2">
                        <c:v>4.2</c:v>
                      </c:pt>
                      <c:pt idx="3">
                        <c:v>3.7</c:v>
                      </c:pt>
                      <c:pt idx="4">
                        <c:v>3.4</c:v>
                      </c:pt>
                      <c:pt idx="5">
                        <c:v>4.2</c:v>
                      </c:pt>
                      <c:pt idx="6">
                        <c:v>4.2</c:v>
                      </c:pt>
                      <c:pt idx="7">
                        <c:v>3.5</c:v>
                      </c:pt>
                      <c:pt idx="8">
                        <c:v>4.2</c:v>
                      </c:pt>
                      <c:pt idx="9">
                        <c:v>4.2</c:v>
                      </c:pt>
                      <c:pt idx="10">
                        <c:v>4.0999999999999996</c:v>
                      </c:pt>
                      <c:pt idx="11">
                        <c:v>4.5</c:v>
                      </c:pt>
                      <c:pt idx="12">
                        <c:v>4.3</c:v>
                      </c:pt>
                      <c:pt idx="13">
                        <c:v>4.2</c:v>
                      </c:pt>
                      <c:pt idx="14">
                        <c:v>4.5</c:v>
                      </c:pt>
                      <c:pt idx="15">
                        <c:v>4.4000000000000004</c:v>
                      </c:pt>
                      <c:pt idx="16">
                        <c:v>4.2</c:v>
                      </c:pt>
                      <c:pt idx="17">
                        <c:v>3.4</c:v>
                      </c:pt>
                      <c:pt idx="18">
                        <c:v>4.2</c:v>
                      </c:pt>
                      <c:pt idx="19">
                        <c:v>4.5999999999999996</c:v>
                      </c:pt>
                      <c:pt idx="20">
                        <c:v>4.3</c:v>
                      </c:pt>
                      <c:pt idx="21">
                        <c:v>4</c:v>
                      </c:pt>
                      <c:pt idx="22">
                        <c:v>3.8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CD6-4476-9AA1-59B22A52E8E7}"/>
                  </c:ext>
                </c:extLst>
              </c15:ser>
            </c15:filteredPieSeries>
          </c:ext>
        </c:extLst>
      </c:pie3DChart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5865208515602217"/>
          <c:y val="0.63554353618511161"/>
          <c:w val="0.69170756976107906"/>
          <c:h val="0.323659599476061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9</xdr:row>
      <xdr:rowOff>185737</xdr:rowOff>
    </xdr:from>
    <xdr:to>
      <xdr:col>16</xdr:col>
      <xdr:colOff>304800</xdr:colOff>
      <xdr:row>24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202FD6-25FB-2FE3-A3E3-1100F810E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65</xdr:row>
      <xdr:rowOff>90487</xdr:rowOff>
    </xdr:from>
    <xdr:to>
      <xdr:col>6</xdr:col>
      <xdr:colOff>266700</xdr:colOff>
      <xdr:row>79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2F2816-0820-BE7A-78B1-83C87DAD4E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10</xdr:row>
      <xdr:rowOff>47625</xdr:rowOff>
    </xdr:from>
    <xdr:to>
      <xdr:col>17</xdr:col>
      <xdr:colOff>161925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FAAEC7-25BC-8056-D11E-1A432764D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28574</xdr:colOff>
      <xdr:row>46</xdr:row>
      <xdr:rowOff>123825</xdr:rowOff>
    </xdr:from>
    <xdr:to>
      <xdr:col>7</xdr:col>
      <xdr:colOff>171449</xdr:colOff>
      <xdr:row>61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2348D0-B719-CFF7-27BA-6162731BB2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152399</xdr:colOff>
      <xdr:row>31</xdr:row>
      <xdr:rowOff>104775</xdr:rowOff>
    </xdr:from>
    <xdr:to>
      <xdr:col>6</xdr:col>
      <xdr:colOff>333375</xdr:colOff>
      <xdr:row>45</xdr:row>
      <xdr:rowOff>47624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89B1E6-DBAC-8C70-E42C-43E8E44981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333375</xdr:colOff>
      <xdr:row>31</xdr:row>
      <xdr:rowOff>161925</xdr:rowOff>
    </xdr:from>
    <xdr:to>
      <xdr:col>18</xdr:col>
      <xdr:colOff>47625</xdr:colOff>
      <xdr:row>50</xdr:row>
      <xdr:rowOff>171449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0CF62B0-E15C-D3BC-600C-916779F0E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" refreshedDate="46221.999040972223" createdVersion="8" refreshedVersion="8" minRefreshableVersion="3" recordCount="23" xr:uid="{D9591574-1E57-48AF-AC0B-7A0ED6AF19F1}">
  <cacheSource type="worksheet">
    <worksheetSource ref="A2:D25" sheet="Sheet1"/>
  </cacheSource>
  <cacheFields count="4">
    <cacheField name="#" numFmtId="0">
      <sharedItems containsSemiMixedTypes="0" containsString="0" containsNumber="1" containsInteger="1" minValue="1" maxValue="23" count="23">
        <n v="20"/>
        <n v="12"/>
        <n v="15"/>
        <n v="16"/>
        <n v="13"/>
        <n v="21"/>
        <n v="3"/>
        <n v="6"/>
        <n v="7"/>
        <n v="9"/>
        <n v="10"/>
        <n v="14"/>
        <n v="17"/>
        <n v="19"/>
        <n v="2"/>
        <n v="11"/>
        <n v="1"/>
        <n v="22"/>
        <n v="23"/>
        <n v="4"/>
        <n v="8"/>
        <n v="5"/>
        <n v="18"/>
      </sharedItems>
    </cacheField>
    <cacheField name="Product_name" numFmtId="0">
      <sharedItems count="15">
        <s v="Apple iPhone Air 2..."/>
        <s v="realme C71 4G Sm..."/>
        <s v="iQOO Z10R 5G (M..."/>
        <s v="OnePlus Nord CE6 ..."/>
        <s v="Motorola G57 Pow..."/>
        <s v="Samsung Galaxy F..."/>
        <s v="Apple iPhone 17e ..."/>
        <s v="Samsung Galaxy M..."/>
        <s v="realme NARZO 80 ..."/>
        <s v="iQOO Z10 Lite 5G (..."/>
        <s v="iQOO Z11x 5G (Pri..."/>
        <s v="vivo T5x 5G (Cyber..."/>
        <s v="Lava Bold N2 (Siac..."/>
        <s v="Apple iPhone Air 1..."/>
        <s v="REDMI A7 Pro 5G (..."/>
      </sharedItems>
    </cacheField>
    <cacheField name="Stars" numFmtId="0">
      <sharedItems containsSemiMixedTypes="0" containsString="0" containsNumber="1" minValue="3.4" maxValue="4.5999999999999996" count="11">
        <n v="4.5999999999999996"/>
        <n v="4.5"/>
        <n v="4.4000000000000004"/>
        <n v="4.3"/>
        <n v="4.2"/>
        <n v="4.0999999999999996"/>
        <n v="4"/>
        <n v="3.8"/>
        <n v="3.7"/>
        <n v="3.5"/>
        <n v="3.4"/>
      </sharedItems>
    </cacheField>
    <cacheField name="Rating_count" numFmtId="0">
      <sharedItems containsSemiMixedTypes="0" containsString="0" containsNumber="1" containsInteger="1" minValue="3" maxValue="7600" count="20">
        <n v="54"/>
        <n v="58"/>
        <n v="2400"/>
        <n v="4700"/>
        <n v="838"/>
        <n v="581"/>
        <n v="165"/>
        <n v="1100"/>
        <n v="66"/>
        <n v="1700"/>
        <n v="3000"/>
        <n v="7600"/>
        <n v="107"/>
        <n v="2800"/>
        <n v="529"/>
        <n v="3500"/>
        <n v="198"/>
        <n v="247"/>
        <n v="3"/>
        <n v="91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x v="0"/>
    <x v="0"/>
  </r>
  <r>
    <x v="1"/>
    <x v="0"/>
    <x v="1"/>
    <x v="1"/>
  </r>
  <r>
    <x v="2"/>
    <x v="1"/>
    <x v="1"/>
    <x v="2"/>
  </r>
  <r>
    <x v="3"/>
    <x v="2"/>
    <x v="2"/>
    <x v="3"/>
  </r>
  <r>
    <x v="4"/>
    <x v="3"/>
    <x v="3"/>
    <x v="4"/>
  </r>
  <r>
    <x v="5"/>
    <x v="4"/>
    <x v="3"/>
    <x v="5"/>
  </r>
  <r>
    <x v="6"/>
    <x v="5"/>
    <x v="4"/>
    <x v="6"/>
  </r>
  <r>
    <x v="7"/>
    <x v="3"/>
    <x v="4"/>
    <x v="7"/>
  </r>
  <r>
    <x v="8"/>
    <x v="6"/>
    <x v="4"/>
    <x v="8"/>
  </r>
  <r>
    <x v="9"/>
    <x v="7"/>
    <x v="4"/>
    <x v="9"/>
  </r>
  <r>
    <x v="10"/>
    <x v="8"/>
    <x v="4"/>
    <x v="10"/>
  </r>
  <r>
    <x v="11"/>
    <x v="3"/>
    <x v="4"/>
    <x v="7"/>
  </r>
  <r>
    <x v="12"/>
    <x v="9"/>
    <x v="4"/>
    <x v="11"/>
  </r>
  <r>
    <x v="13"/>
    <x v="10"/>
    <x v="4"/>
    <x v="7"/>
  </r>
  <r>
    <x v="14"/>
    <x v="11"/>
    <x v="5"/>
    <x v="12"/>
  </r>
  <r>
    <x v="15"/>
    <x v="7"/>
    <x v="5"/>
    <x v="13"/>
  </r>
  <r>
    <x v="16"/>
    <x v="7"/>
    <x v="6"/>
    <x v="14"/>
  </r>
  <r>
    <x v="17"/>
    <x v="7"/>
    <x v="6"/>
    <x v="15"/>
  </r>
  <r>
    <x v="18"/>
    <x v="5"/>
    <x v="7"/>
    <x v="16"/>
  </r>
  <r>
    <x v="19"/>
    <x v="12"/>
    <x v="8"/>
    <x v="17"/>
  </r>
  <r>
    <x v="20"/>
    <x v="13"/>
    <x v="9"/>
    <x v="18"/>
  </r>
  <r>
    <x v="21"/>
    <x v="14"/>
    <x v="10"/>
    <x v="19"/>
  </r>
  <r>
    <x v="22"/>
    <x v="14"/>
    <x v="10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6140A-5496-41A4-87B1-7B6E63C0085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7F63BC-F70B-45E4-9128-A0F6C2B6353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K3:W20" firstHeaderRow="1" firstDataRow="2" firstDataCol="1"/>
  <pivotFields count="4">
    <pivotField showAll="0">
      <items count="24">
        <item x="16"/>
        <item x="14"/>
        <item x="6"/>
        <item x="19"/>
        <item x="21"/>
        <item x="7"/>
        <item x="8"/>
        <item x="20"/>
        <item x="9"/>
        <item x="10"/>
        <item x="15"/>
        <item x="1"/>
        <item x="4"/>
        <item x="11"/>
        <item x="2"/>
        <item x="3"/>
        <item x="12"/>
        <item x="22"/>
        <item x="13"/>
        <item x="0"/>
        <item x="5"/>
        <item x="17"/>
        <item x="18"/>
        <item t="default"/>
      </items>
    </pivotField>
    <pivotField axis="axisRow" showAll="0">
      <items count="16">
        <item x="6"/>
        <item x="13"/>
        <item x="0"/>
        <item x="9"/>
        <item x="2"/>
        <item x="10"/>
        <item x="12"/>
        <item x="4"/>
        <item x="3"/>
        <item x="1"/>
        <item x="8"/>
        <item x="14"/>
        <item x="5"/>
        <item x="7"/>
        <item x="11"/>
        <item t="default"/>
      </items>
    </pivotField>
    <pivotField axis="axisCol" showAll="0">
      <items count="12"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>
      <items count="21">
        <item x="18"/>
        <item x="0"/>
        <item x="1"/>
        <item x="8"/>
        <item x="12"/>
        <item x="6"/>
        <item x="16"/>
        <item x="17"/>
        <item x="14"/>
        <item x="5"/>
        <item x="4"/>
        <item x="19"/>
        <item x="7"/>
        <item x="9"/>
        <item x="2"/>
        <item x="13"/>
        <item x="10"/>
        <item x="15"/>
        <item x="3"/>
        <item x="11"/>
        <item t="default"/>
      </items>
    </pivotField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Rating_count" fld="3" baseField="0" baseItem="0"/>
  </dataFields>
  <chartFormats count="22">
    <chartFormat chart="0" format="1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2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2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2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2" count="1" selected="0">
            <x v="6"/>
          </reference>
        </references>
      </pivotArea>
    </chartFormat>
    <chartFormat chart="0" format="8" series="1">
      <pivotArea type="data" outline="0" fieldPosition="0">
        <references count="1">
          <reference field="2" count="1" selected="0">
            <x v="7"/>
          </reference>
        </references>
      </pivotArea>
    </chartFormat>
    <chartFormat chart="0" format="9" series="1">
      <pivotArea type="data" outline="0" fieldPosition="0">
        <references count="1">
          <reference field="2" count="1" selected="0">
            <x v="8"/>
          </reference>
        </references>
      </pivotArea>
    </chartFormat>
    <chartFormat chart="0" format="10" series="1">
      <pivotArea type="data" outline="0" fieldPosition="0">
        <references count="1">
          <reference field="2" count="1" selected="0">
            <x v="9"/>
          </reference>
        </references>
      </pivotArea>
    </chartFormat>
    <chartFormat chart="0" format="11" series="1">
      <pivotArea type="data" outline="0" fieldPosition="0">
        <references count="1">
          <reference field="2" count="1" selected="0">
            <x v="10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E660-9E81-4AB2-A186-9F19CBF02DED}">
  <dimension ref="A3:C20"/>
  <sheetViews>
    <sheetView workbookViewId="0">
      <selection activeCell="E2" sqref="E2:F2"/>
    </sheetView>
  </sheetViews>
  <sheetFormatPr defaultRowHeight="15" x14ac:dyDescent="0.25"/>
  <sheetData>
    <row r="3" spans="1:3" x14ac:dyDescent="0.25">
      <c r="A3" s="1"/>
      <c r="B3" s="2"/>
      <c r="C3" s="3"/>
    </row>
    <row r="4" spans="1:3" x14ac:dyDescent="0.25">
      <c r="A4" s="4"/>
      <c r="B4" s="5"/>
      <c r="C4" s="6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4"/>
      <c r="B7" s="5"/>
      <c r="C7" s="6"/>
    </row>
    <row r="8" spans="1:3" x14ac:dyDescent="0.25">
      <c r="A8" s="4"/>
      <c r="B8" s="5"/>
      <c r="C8" s="6"/>
    </row>
    <row r="9" spans="1:3" x14ac:dyDescent="0.25">
      <c r="A9" s="4"/>
      <c r="B9" s="5"/>
      <c r="C9" s="6"/>
    </row>
    <row r="10" spans="1:3" x14ac:dyDescent="0.25">
      <c r="A10" s="4"/>
      <c r="B10" s="5"/>
      <c r="C10" s="6"/>
    </row>
    <row r="11" spans="1:3" x14ac:dyDescent="0.25">
      <c r="A11" s="4"/>
      <c r="B11" s="5"/>
      <c r="C11" s="6"/>
    </row>
    <row r="12" spans="1:3" x14ac:dyDescent="0.25">
      <c r="A12" s="4"/>
      <c r="B12" s="5"/>
      <c r="C12" s="6"/>
    </row>
    <row r="13" spans="1:3" x14ac:dyDescent="0.25">
      <c r="A13" s="4"/>
      <c r="B13" s="5"/>
      <c r="C13" s="6"/>
    </row>
    <row r="14" spans="1:3" x14ac:dyDescent="0.25">
      <c r="A14" s="4"/>
      <c r="B14" s="5"/>
      <c r="C14" s="6"/>
    </row>
    <row r="15" spans="1:3" x14ac:dyDescent="0.25">
      <c r="A15" s="4"/>
      <c r="B15" s="5"/>
      <c r="C15" s="6"/>
    </row>
    <row r="16" spans="1:3" x14ac:dyDescent="0.25">
      <c r="A16" s="4"/>
      <c r="B16" s="5"/>
      <c r="C16" s="6"/>
    </row>
    <row r="17" spans="1:3" x14ac:dyDescent="0.25">
      <c r="A17" s="4"/>
      <c r="B17" s="5"/>
      <c r="C17" s="6"/>
    </row>
    <row r="18" spans="1:3" x14ac:dyDescent="0.25">
      <c r="A18" s="4"/>
      <c r="B18" s="5"/>
      <c r="C18" s="6"/>
    </row>
    <row r="19" spans="1:3" x14ac:dyDescent="0.25">
      <c r="A19" s="4"/>
      <c r="B19" s="5"/>
      <c r="C19" s="6"/>
    </row>
    <row r="20" spans="1:3" x14ac:dyDescent="0.25">
      <c r="A20" s="7"/>
      <c r="B20" s="8"/>
      <c r="C20" s="9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5"/>
  <sheetViews>
    <sheetView tabSelected="1" workbookViewId="0">
      <selection activeCell="F64" sqref="F64"/>
    </sheetView>
  </sheetViews>
  <sheetFormatPr defaultRowHeight="15" x14ac:dyDescent="0.25"/>
  <cols>
    <col min="2" max="2" width="19.28515625" customWidth="1"/>
    <col min="4" max="4" width="12.140625" customWidth="1"/>
    <col min="8" max="8" width="12.5703125" customWidth="1"/>
    <col min="11" max="11" width="19.42578125" bestFit="1" customWidth="1"/>
    <col min="12" max="12" width="16.28515625" bestFit="1" customWidth="1"/>
    <col min="13" max="15" width="4" bestFit="1" customWidth="1"/>
    <col min="16" max="17" width="5" bestFit="1" customWidth="1"/>
    <col min="18" max="18" width="6" bestFit="1" customWidth="1"/>
    <col min="19" max="21" width="5" bestFit="1" customWidth="1"/>
    <col min="22" max="22" width="4" bestFit="1" customWidth="1"/>
    <col min="23" max="23" width="11.28515625" bestFit="1" customWidth="1"/>
    <col min="24" max="24" width="5.85546875" bestFit="1" customWidth="1"/>
    <col min="25" max="25" width="3" bestFit="1" customWidth="1"/>
    <col min="26" max="26" width="8.42578125" bestFit="1" customWidth="1"/>
    <col min="27" max="27" width="5.85546875" bestFit="1" customWidth="1"/>
    <col min="28" max="30" width="2" bestFit="1" customWidth="1"/>
    <col min="31" max="34" width="3" bestFit="1" customWidth="1"/>
    <col min="35" max="35" width="8.42578125" bestFit="1" customWidth="1"/>
    <col min="36" max="36" width="5.85546875" bestFit="1" customWidth="1"/>
    <col min="37" max="37" width="3" bestFit="1" customWidth="1"/>
    <col min="38" max="38" width="8.42578125" bestFit="1" customWidth="1"/>
    <col min="39" max="39" width="5.85546875" bestFit="1" customWidth="1"/>
    <col min="40" max="40" width="8.42578125" bestFit="1" customWidth="1"/>
    <col min="41" max="41" width="5.85546875" bestFit="1" customWidth="1"/>
    <col min="42" max="42" width="3" bestFit="1" customWidth="1"/>
    <col min="43" max="43" width="8.42578125" bestFit="1" customWidth="1"/>
    <col min="44" max="44" width="5.85546875" bestFit="1" customWidth="1"/>
    <col min="45" max="45" width="8.42578125" bestFit="1" customWidth="1"/>
    <col min="46" max="46" width="11.28515625" bestFit="1" customWidth="1"/>
  </cols>
  <sheetData>
    <row r="1" spans="1:23" x14ac:dyDescent="0.25">
      <c r="A1" s="15" t="s">
        <v>0</v>
      </c>
      <c r="B1" s="15"/>
      <c r="C1" s="15"/>
      <c r="D1" s="15"/>
    </row>
    <row r="2" spans="1:23" x14ac:dyDescent="0.25">
      <c r="A2" s="12" t="s">
        <v>1</v>
      </c>
      <c r="B2" s="13" t="s">
        <v>2</v>
      </c>
      <c r="C2" s="13" t="s">
        <v>3</v>
      </c>
      <c r="D2" s="13" t="s">
        <v>4</v>
      </c>
    </row>
    <row r="3" spans="1:23" x14ac:dyDescent="0.25">
      <c r="A3" s="14">
        <v>1</v>
      </c>
      <c r="B3" s="14" t="s">
        <v>5</v>
      </c>
      <c r="C3" s="14">
        <v>4</v>
      </c>
      <c r="D3" s="14">
        <v>529</v>
      </c>
      <c r="K3" s="10" t="s">
        <v>27</v>
      </c>
      <c r="L3" s="10" t="s">
        <v>26</v>
      </c>
    </row>
    <row r="4" spans="1:23" x14ac:dyDescent="0.25">
      <c r="A4" s="14">
        <v>2</v>
      </c>
      <c r="B4" s="14" t="s">
        <v>6</v>
      </c>
      <c r="C4" s="14">
        <v>4.0999999999999996</v>
      </c>
      <c r="D4" s="14">
        <v>107</v>
      </c>
      <c r="K4" s="10" t="s">
        <v>24</v>
      </c>
      <c r="L4">
        <v>3.4</v>
      </c>
      <c r="M4">
        <v>3.5</v>
      </c>
      <c r="N4">
        <v>3.7</v>
      </c>
      <c r="O4">
        <v>3.8</v>
      </c>
      <c r="P4">
        <v>4</v>
      </c>
      <c r="Q4">
        <v>4.0999999999999996</v>
      </c>
      <c r="R4">
        <v>4.2</v>
      </c>
      <c r="S4">
        <v>4.3</v>
      </c>
      <c r="T4">
        <v>4.4000000000000004</v>
      </c>
      <c r="U4">
        <v>4.5</v>
      </c>
      <c r="V4">
        <v>4.5999999999999996</v>
      </c>
      <c r="W4" t="s">
        <v>25</v>
      </c>
    </row>
    <row r="5" spans="1:23" x14ac:dyDescent="0.25">
      <c r="A5" s="14">
        <v>3</v>
      </c>
      <c r="B5" s="14" t="s">
        <v>7</v>
      </c>
      <c r="C5" s="14">
        <v>4.2</v>
      </c>
      <c r="D5" s="14">
        <v>165</v>
      </c>
      <c r="H5" s="16" t="s">
        <v>20</v>
      </c>
      <c r="I5" s="17">
        <f>AVERAGE(C3:C25)</f>
        <v>4.0956521739130434</v>
      </c>
      <c r="K5" s="11" t="s">
        <v>11</v>
      </c>
      <c r="R5">
        <v>66</v>
      </c>
      <c r="W5">
        <v>66</v>
      </c>
    </row>
    <row r="6" spans="1:23" x14ac:dyDescent="0.25">
      <c r="A6" s="14">
        <v>4</v>
      </c>
      <c r="B6" s="14" t="s">
        <v>8</v>
      </c>
      <c r="C6" s="14">
        <v>3.7</v>
      </c>
      <c r="D6" s="14">
        <v>247</v>
      </c>
      <c r="H6" s="16" t="s">
        <v>23</v>
      </c>
      <c r="I6" s="18">
        <f>MAX(D1:D23)</f>
        <v>7600</v>
      </c>
      <c r="K6" s="11" t="s">
        <v>12</v>
      </c>
      <c r="M6">
        <v>3</v>
      </c>
      <c r="W6">
        <v>3</v>
      </c>
    </row>
    <row r="7" spans="1:23" x14ac:dyDescent="0.25">
      <c r="A7" s="14">
        <v>5</v>
      </c>
      <c r="B7" s="14" t="s">
        <v>9</v>
      </c>
      <c r="C7" s="14">
        <v>3.4</v>
      </c>
      <c r="D7" s="14">
        <v>913</v>
      </c>
      <c r="H7" s="16" t="s">
        <v>21</v>
      </c>
      <c r="I7" s="18">
        <f>COUNT(A4:A26)</f>
        <v>22</v>
      </c>
      <c r="K7" s="11" t="s">
        <v>14</v>
      </c>
      <c r="U7">
        <v>58</v>
      </c>
      <c r="V7">
        <v>54</v>
      </c>
      <c r="W7">
        <v>112</v>
      </c>
    </row>
    <row r="8" spans="1:23" x14ac:dyDescent="0.25">
      <c r="A8" s="14">
        <v>6</v>
      </c>
      <c r="B8" s="14" t="s">
        <v>10</v>
      </c>
      <c r="C8" s="14">
        <v>4.2</v>
      </c>
      <c r="D8" s="14">
        <v>1100</v>
      </c>
      <c r="H8" s="16" t="s">
        <v>22</v>
      </c>
      <c r="I8" s="18">
        <f>MIN(D4:D26)</f>
        <v>3</v>
      </c>
      <c r="K8" s="11" t="s">
        <v>17</v>
      </c>
      <c r="R8">
        <v>7600</v>
      </c>
      <c r="W8">
        <v>7600</v>
      </c>
    </row>
    <row r="9" spans="1:23" x14ac:dyDescent="0.25">
      <c r="A9" s="14">
        <v>7</v>
      </c>
      <c r="B9" s="14" t="s">
        <v>11</v>
      </c>
      <c r="C9" s="14">
        <v>4.2</v>
      </c>
      <c r="D9" s="14">
        <v>66</v>
      </c>
      <c r="K9" s="11" t="s">
        <v>16</v>
      </c>
      <c r="T9">
        <v>4700</v>
      </c>
      <c r="W9">
        <v>4700</v>
      </c>
    </row>
    <row r="10" spans="1:23" x14ac:dyDescent="0.25">
      <c r="A10" s="14">
        <v>8</v>
      </c>
      <c r="B10" s="14" t="s">
        <v>12</v>
      </c>
      <c r="C10" s="14">
        <v>3.5</v>
      </c>
      <c r="D10" s="14">
        <v>3</v>
      </c>
      <c r="K10" s="11" t="s">
        <v>18</v>
      </c>
      <c r="R10">
        <v>1100</v>
      </c>
      <c r="W10">
        <v>1100</v>
      </c>
    </row>
    <row r="11" spans="1:23" x14ac:dyDescent="0.25">
      <c r="A11" s="14">
        <v>9</v>
      </c>
      <c r="B11" s="14" t="s">
        <v>5</v>
      </c>
      <c r="C11" s="14">
        <v>4.2</v>
      </c>
      <c r="D11" s="14">
        <v>1700</v>
      </c>
      <c r="K11" s="11" t="s">
        <v>8</v>
      </c>
      <c r="N11">
        <v>247</v>
      </c>
      <c r="W11">
        <v>247</v>
      </c>
    </row>
    <row r="12" spans="1:23" x14ac:dyDescent="0.25">
      <c r="A12" s="14">
        <v>10</v>
      </c>
      <c r="B12" s="14" t="s">
        <v>13</v>
      </c>
      <c r="C12" s="14">
        <v>4.2</v>
      </c>
      <c r="D12" s="14">
        <v>3000</v>
      </c>
      <c r="K12" s="11" t="s">
        <v>19</v>
      </c>
      <c r="S12">
        <v>581</v>
      </c>
      <c r="W12">
        <v>581</v>
      </c>
    </row>
    <row r="13" spans="1:23" x14ac:dyDescent="0.25">
      <c r="A13" s="14">
        <v>11</v>
      </c>
      <c r="B13" s="14" t="s">
        <v>5</v>
      </c>
      <c r="C13" s="14">
        <v>4.0999999999999996</v>
      </c>
      <c r="D13" s="14">
        <v>2800</v>
      </c>
      <c r="K13" s="11" t="s">
        <v>10</v>
      </c>
      <c r="R13">
        <v>2200</v>
      </c>
      <c r="S13">
        <v>838</v>
      </c>
      <c r="W13">
        <v>3038</v>
      </c>
    </row>
    <row r="14" spans="1:23" x14ac:dyDescent="0.25">
      <c r="A14" s="14">
        <v>12</v>
      </c>
      <c r="B14" s="14" t="s">
        <v>14</v>
      </c>
      <c r="C14" s="14">
        <v>4.5</v>
      </c>
      <c r="D14" s="14">
        <v>58</v>
      </c>
      <c r="K14" s="11" t="s">
        <v>15</v>
      </c>
      <c r="U14">
        <v>2400</v>
      </c>
      <c r="W14">
        <v>2400</v>
      </c>
    </row>
    <row r="15" spans="1:23" x14ac:dyDescent="0.25">
      <c r="A15" s="14">
        <v>13</v>
      </c>
      <c r="B15" s="14" t="s">
        <v>10</v>
      </c>
      <c r="C15" s="14">
        <v>4.3</v>
      </c>
      <c r="D15" s="14">
        <v>838</v>
      </c>
      <c r="K15" s="11" t="s">
        <v>13</v>
      </c>
      <c r="R15">
        <v>3000</v>
      </c>
      <c r="W15">
        <v>3000</v>
      </c>
    </row>
    <row r="16" spans="1:23" x14ac:dyDescent="0.25">
      <c r="A16" s="14">
        <v>14</v>
      </c>
      <c r="B16" s="14" t="s">
        <v>10</v>
      </c>
      <c r="C16" s="14">
        <v>4.2</v>
      </c>
      <c r="D16" s="14">
        <v>1100</v>
      </c>
      <c r="K16" s="11" t="s">
        <v>9</v>
      </c>
      <c r="L16">
        <v>1826</v>
      </c>
      <c r="W16">
        <v>1826</v>
      </c>
    </row>
    <row r="17" spans="1:23" x14ac:dyDescent="0.25">
      <c r="A17" s="14">
        <v>15</v>
      </c>
      <c r="B17" s="14" t="s">
        <v>15</v>
      </c>
      <c r="C17" s="14">
        <v>4.5</v>
      </c>
      <c r="D17" s="14">
        <v>2400</v>
      </c>
      <c r="K17" s="11" t="s">
        <v>7</v>
      </c>
      <c r="O17">
        <v>198</v>
      </c>
      <c r="R17">
        <v>165</v>
      </c>
      <c r="W17">
        <v>363</v>
      </c>
    </row>
    <row r="18" spans="1:23" x14ac:dyDescent="0.25">
      <c r="A18" s="14">
        <v>16</v>
      </c>
      <c r="B18" s="14" t="s">
        <v>16</v>
      </c>
      <c r="C18" s="14">
        <v>4.4000000000000004</v>
      </c>
      <c r="D18" s="14">
        <v>4700</v>
      </c>
      <c r="K18" s="11" t="s">
        <v>5</v>
      </c>
      <c r="P18">
        <v>4029</v>
      </c>
      <c r="Q18">
        <v>2800</v>
      </c>
      <c r="R18">
        <v>1700</v>
      </c>
      <c r="W18">
        <v>8529</v>
      </c>
    </row>
    <row r="19" spans="1:23" x14ac:dyDescent="0.25">
      <c r="A19" s="14">
        <v>17</v>
      </c>
      <c r="B19" s="14" t="s">
        <v>17</v>
      </c>
      <c r="C19" s="14">
        <v>4.2</v>
      </c>
      <c r="D19" s="14">
        <v>7600</v>
      </c>
      <c r="K19" s="11" t="s">
        <v>6</v>
      </c>
      <c r="Q19">
        <v>107</v>
      </c>
      <c r="W19">
        <v>107</v>
      </c>
    </row>
    <row r="20" spans="1:23" x14ac:dyDescent="0.25">
      <c r="A20" s="14">
        <v>18</v>
      </c>
      <c r="B20" s="14" t="s">
        <v>9</v>
      </c>
      <c r="C20" s="14">
        <v>3.4</v>
      </c>
      <c r="D20" s="14">
        <v>913</v>
      </c>
      <c r="K20" s="11" t="s">
        <v>25</v>
      </c>
      <c r="L20">
        <v>1826</v>
      </c>
      <c r="M20">
        <v>3</v>
      </c>
      <c r="N20">
        <v>247</v>
      </c>
      <c r="O20">
        <v>198</v>
      </c>
      <c r="P20">
        <v>4029</v>
      </c>
      <c r="Q20">
        <v>2907</v>
      </c>
      <c r="R20">
        <v>15831</v>
      </c>
      <c r="S20">
        <v>1419</v>
      </c>
      <c r="T20">
        <v>4700</v>
      </c>
      <c r="U20">
        <v>2458</v>
      </c>
      <c r="V20">
        <v>54</v>
      </c>
      <c r="W20">
        <v>33672</v>
      </c>
    </row>
    <row r="21" spans="1:23" x14ac:dyDescent="0.25">
      <c r="A21" s="14">
        <v>19</v>
      </c>
      <c r="B21" s="14" t="s">
        <v>18</v>
      </c>
      <c r="C21" s="14">
        <v>4.2</v>
      </c>
      <c r="D21" s="14">
        <v>1100</v>
      </c>
    </row>
    <row r="22" spans="1:23" x14ac:dyDescent="0.25">
      <c r="A22" s="14">
        <v>20</v>
      </c>
      <c r="B22" s="14" t="s">
        <v>14</v>
      </c>
      <c r="C22" s="14">
        <v>4.5999999999999996</v>
      </c>
      <c r="D22" s="14">
        <v>54</v>
      </c>
    </row>
    <row r="23" spans="1:23" x14ac:dyDescent="0.25">
      <c r="A23" s="14">
        <v>21</v>
      </c>
      <c r="B23" s="14" t="s">
        <v>19</v>
      </c>
      <c r="C23" s="14">
        <v>4.3</v>
      </c>
      <c r="D23" s="14">
        <v>581</v>
      </c>
    </row>
    <row r="24" spans="1:23" x14ac:dyDescent="0.25">
      <c r="A24" s="14">
        <v>22</v>
      </c>
      <c r="B24" s="14" t="s">
        <v>5</v>
      </c>
      <c r="C24" s="14">
        <v>4</v>
      </c>
      <c r="D24" s="14">
        <v>3500</v>
      </c>
    </row>
    <row r="25" spans="1:23" x14ac:dyDescent="0.25">
      <c r="A25" s="14">
        <v>23</v>
      </c>
      <c r="B25" s="14" t="s">
        <v>7</v>
      </c>
      <c r="C25" s="14">
        <v>3.8</v>
      </c>
      <c r="D25" s="14">
        <v>198</v>
      </c>
    </row>
  </sheetData>
  <sortState xmlns:xlrd2="http://schemas.microsoft.com/office/spreadsheetml/2017/richdata2" ref="A3:D25">
    <sortCondition ref="A3:A25"/>
  </sortState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2015-06-05T18:17:20Z</dcterms:created>
  <dcterms:modified xsi:type="dcterms:W3CDTF">2026-07-18T19:46:49Z</dcterms:modified>
</cp:coreProperties>
</file>